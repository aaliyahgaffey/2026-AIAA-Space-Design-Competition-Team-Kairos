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Thermal w 1.5m" sheetId="1" r:id="rId4"/>
  </sheets>
  <definedNames/>
  <calcPr/>
  <extLst>
    <ext uri="GoogleSheetsCustomDataVersion2">
      <go:sheetsCustomData xmlns:go="http://customooxmlschemas.google.com/" r:id="rId5" roundtripDataChecksum="NBdwALmevbQ2uBMwfuQ5sQEyeEZoPCpDPa5ChPg2Baw="/>
    </ext>
  </extLst>
</workbook>
</file>

<file path=xl/sharedStrings.xml><?xml version="1.0" encoding="utf-8"?>
<sst xmlns="http://schemas.openxmlformats.org/spreadsheetml/2006/main" count="108" uniqueCount="91">
  <si>
    <t>Element</t>
  </si>
  <si>
    <t>Heat (W) — Hot</t>
  </si>
  <si>
    <t>Heat (W) — Cold</t>
  </si>
  <si>
    <t>CONSTANTS &amp; PARAMETERS</t>
  </si>
  <si>
    <t>Value</t>
  </si>
  <si>
    <t>Unit</t>
  </si>
  <si>
    <t>Notes</t>
  </si>
  <si>
    <t>Sun on SC (sunshield)</t>
  </si>
  <si>
    <t>── SOLAR ENVIRONMENT ──</t>
  </si>
  <si>
    <t>Inverse Square Law</t>
  </si>
  <si>
    <t>W/m*K</t>
  </si>
  <si>
    <t>Sun on STIS</t>
  </si>
  <si>
    <t>Solar flux — perihelion (G_hot)</t>
  </si>
  <si>
    <t>W/m²</t>
  </si>
  <si>
    <t>Mars IR</t>
  </si>
  <si>
    <t>Effective value</t>
  </si>
  <si>
    <t>Sun on XEUVI</t>
  </si>
  <si>
    <t>Solar flux — aphelion (G_cold)</t>
  </si>
  <si>
    <t>Mars Albedo</t>
  </si>
  <si>
    <t>Sun on ROSA</t>
  </si>
  <si>
    <t>Boltzmann constant (σ)</t>
  </si>
  <si>
    <t>W/(m²K⁴)</t>
  </si>
  <si>
    <t>Internal hardware power</t>
  </si>
  <si>
    <t>── SUNSHIELD (Teflon w/ 5mil Silver Backing) ──</t>
  </si>
  <si>
    <t>Q_in Total</t>
  </si>
  <si>
    <t>α sunshield</t>
  </si>
  <si>
    <t>Source</t>
  </si>
  <si>
    <t>ε sunshield</t>
  </si>
  <si>
    <t>Radiation of sunshield</t>
  </si>
  <si>
    <t>A sunshield (one bus face)</t>
  </si>
  <si>
    <t>m²</t>
  </si>
  <si>
    <t>Radiation of ROSA (back face)</t>
  </si>
  <si>
    <t>Radiation of deployable rads</t>
  </si>
  <si>
    <t>← stowed in cold case</t>
  </si>
  <si>
    <t>── ROSA ──</t>
  </si>
  <si>
    <t>Radiation of STIS</t>
  </si>
  <si>
    <t>α ROSA (front, solar cells)</t>
  </si>
  <si>
    <t>Radiation of XEUVI</t>
  </si>
  <si>
    <t>ε ROSA (back, Kapton substrate)</t>
  </si>
  <si>
    <t>Radiation of white paint (Z-93)</t>
  </si>
  <si>
    <t>A ROSA (total back face)</t>
  </si>
  <si>
    <t>Radiation of alum. Kapton tape</t>
  </si>
  <si>
    <t>── DEPLOYABLE RADIATORS (Z93SC55) ──</t>
  </si>
  <si>
    <t>Q_out Total</t>
  </si>
  <si>
    <t>ε deployable rads</t>
  </si>
  <si>
    <t>Balance (Q_in − Q_out)</t>
  </si>
  <si>
    <t>← should be ≈ 0</t>
  </si>
  <si>
    <t>A deployable rads (2 panels)</t>
  </si>
  <si>
    <t>2 × (1.4 × 0.5 m), full deployment</t>
  </si>
  <si>
    <t>RESULTS</t>
  </si>
  <si>
    <t>Hot case</t>
  </si>
  <si>
    <t>Cold case (no rads)</t>
  </si>
  <si>
    <t>── INSTRUMENTS ──</t>
  </si>
  <si>
    <t>T_eq (K)</t>
  </si>
  <si>
    <t>α instruments (STIS &amp; XEUVI)</t>
  </si>
  <si>
    <t>T_eq (°C)</t>
  </si>
  <si>
    <t>ε STIS</t>
  </si>
  <si>
    <t>Margin to 40°C ceiling</t>
  </si>
  <si>
    <t>N/A</t>
  </si>
  <si>
    <t>A STIS</t>
  </si>
  <si>
    <t>0.15 m × 0.18 m</t>
  </si>
  <si>
    <t>Margin from 10°C floor</t>
  </si>
  <si>
    <t>ε XEUVI</t>
  </si>
  <si>
    <t>A XEUVI</t>
  </si>
  <si>
    <t>0.4 m × 0.4 m</t>
  </si>
  <si>
    <t>Source (heat in)</t>
  </si>
  <si>
    <t>Sink (heat out)</t>
  </si>
  <si>
    <t>Result</t>
  </si>
  <si>
    <t>── BUS SURFACE (5 non-sunshield faces) ──</t>
  </si>
  <si>
    <t>ε white paint (Z93SC55)</t>
  </si>
  <si>
    <t>A white paint stripes</t>
  </si>
  <si>
    <t>── POWER ──</t>
  </si>
  <si>
    <t>Internal power — hot (max)</t>
  </si>
  <si>
    <t>W</t>
  </si>
  <si>
    <t>Internal power — cold (min)</t>
  </si>
  <si>
    <t>── INTERMEDIATE CALCULATIONS ──</t>
  </si>
  <si>
    <t>εA total — hot (rads deployed)</t>
  </si>
  <si>
    <t>εA total — cold (rads stowed)</t>
  </si>
  <si>
    <t>σT⁴ — hot case</t>
  </si>
  <si>
    <t>Q_in_hot divided by eA_hot</t>
  </si>
  <si>
    <t>σT⁴ — cold case</t>
  </si>
  <si>
    <t>Q_in_cold divided by eA_cold</t>
  </si>
  <si>
    <t>── EQUILIBRIUM TEMPERATURES ──</t>
  </si>
  <si>
    <t>T_eq hot (K)</t>
  </si>
  <si>
    <t>K</t>
  </si>
  <si>
    <t>T_eq cold (K)</t>
  </si>
  <si>
    <t>T_eq hot (°C)</t>
  </si>
  <si>
    <t>°C</t>
  </si>
  <si>
    <t>T_eq cold (°C)</t>
  </si>
  <si>
    <t>Margin to 40°C ceiling (hot)</t>
  </si>
  <si>
    <t>Margin from 10°C floor (cold)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</si>
</sst>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14">
    <font>
      <sz val="10.0"/>
      <color rgb="FF000000"/>
      <name val="Arial"/>
      <scheme val="minor"/>
    </font>
    <font>
      <b/>
      <sz val="10.0"/>
      <color rgb="FFFFFFFF"/>
      <name val="Arial"/>
    </font>
    <font>
      <sz val="11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color theme="1"/>
      <name val="Arial"/>
    </font>
    <font>
      <u/>
      <color rgb="FF0000FF"/>
      <name val="Arial"/>
    </font>
    <font>
      <u/>
      <sz val="11.0"/>
      <color rgb="FF000000"/>
      <name val="Arial"/>
    </font>
    <font>
      <u/>
      <sz val="11.0"/>
      <color rgb="FF0000FF"/>
      <name val="Arial"/>
    </font>
    <font>
      <sz val="10.0"/>
      <color rgb="FF888888"/>
      <name val="Arial"/>
    </font>
    <font>
      <sz val="11.0"/>
      <color theme="1"/>
      <name val="Arial"/>
      <scheme val="minor"/>
    </font>
    <font>
      <sz val="11.0"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2" fontId="1" numFmtId="0" xfId="0" applyAlignment="1" applyBorder="1" applyFont="1">
      <alignment horizontal="center"/>
    </xf>
    <xf borderId="1" fillId="3" fontId="3" numFmtId="0" xfId="0" applyBorder="1" applyFill="1" applyFont="1"/>
    <xf borderId="1" fillId="3" fontId="3" numFmtId="4" xfId="0" applyBorder="1" applyFont="1" applyNumberFormat="1"/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164" xfId="0" applyFont="1" applyNumberFormat="1"/>
    <xf borderId="0" fillId="0" fontId="2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right" readingOrder="0" vertical="bottom"/>
    </xf>
    <xf borderId="0" fillId="0" fontId="7" numFmtId="0" xfId="0" applyAlignment="1" applyFont="1">
      <alignment horizontal="right" vertical="bottom"/>
    </xf>
    <xf borderId="0" fillId="0" fontId="7" numFmtId="11" xfId="0" applyAlignment="1" applyFont="1" applyNumberFormat="1">
      <alignment horizontal="right" vertical="bottom"/>
    </xf>
    <xf borderId="0" fillId="0" fontId="9" numFmtId="11" xfId="0" applyFont="1" applyNumberFormat="1"/>
    <xf borderId="0" fillId="0" fontId="6" numFmtId="0" xfId="0" applyFont="1"/>
    <xf borderId="0" fillId="0" fontId="2" numFmtId="4" xfId="0" applyFont="1" applyNumberFormat="1"/>
    <xf borderId="0" fillId="0" fontId="4" numFmtId="0" xfId="0" applyAlignment="1" applyFont="1">
      <alignment readingOrder="0"/>
    </xf>
    <xf borderId="1" fillId="4" fontId="4" numFmtId="0" xfId="0" applyBorder="1" applyFill="1" applyFont="1"/>
    <xf borderId="1" fillId="4" fontId="4" numFmtId="4" xfId="0" applyBorder="1" applyFont="1" applyNumberFormat="1"/>
    <xf borderId="0" fillId="0" fontId="6" numFmtId="2" xfId="0" applyAlignment="1" applyFont="1" applyNumberFormat="1">
      <alignment readingOrder="0"/>
    </xf>
    <xf borderId="0" fillId="0" fontId="10" numFmtId="0" xfId="0" applyAlignment="1" applyFont="1">
      <alignment readingOrder="0"/>
    </xf>
    <xf borderId="1" fillId="5" fontId="3" numFmtId="0" xfId="0" applyBorder="1" applyFill="1" applyFont="1"/>
    <xf borderId="1" fillId="5" fontId="3" numFmtId="4" xfId="0" applyBorder="1" applyFont="1" applyNumberFormat="1"/>
    <xf borderId="0" fillId="0" fontId="6" numFmtId="165" xfId="0" applyFont="1" applyNumberFormat="1"/>
    <xf borderId="0" fillId="0" fontId="11" numFmtId="0" xfId="0" applyAlignment="1" applyFont="1">
      <alignment readingOrder="0"/>
    </xf>
    <xf borderId="0" fillId="0" fontId="6" numFmtId="2" xfId="0" applyFont="1" applyNumberFormat="1"/>
    <xf borderId="0" fillId="0" fontId="2" numFmtId="0" xfId="0" applyAlignment="1" applyFont="1">
      <alignment readingOrder="0"/>
    </xf>
    <xf borderId="0" fillId="0" fontId="4" numFmtId="4" xfId="0" applyFont="1" applyNumberFormat="1"/>
    <xf borderId="0" fillId="0" fontId="6" numFmtId="165" xfId="0" applyAlignment="1" applyFont="1" applyNumberFormat="1">
      <alignment readingOrder="0"/>
    </xf>
    <xf borderId="1" fillId="6" fontId="4" numFmtId="0" xfId="0" applyBorder="1" applyFill="1" applyFont="1"/>
    <xf borderId="1" fillId="6" fontId="4" numFmtId="4" xfId="0" applyAlignment="1" applyBorder="1" applyFont="1" applyNumberFormat="1">
      <alignment horizontal="center"/>
    </xf>
    <xf borderId="1" fillId="7" fontId="3" numFmtId="0" xfId="0" applyBorder="1" applyFill="1" applyFont="1"/>
    <xf borderId="1" fillId="7" fontId="4" numFmtId="4" xfId="0" applyBorder="1" applyFont="1" applyNumberFormat="1"/>
    <xf borderId="1" fillId="7" fontId="3" numFmtId="4" xfId="0" applyAlignment="1" applyBorder="1" applyFont="1" applyNumberFormat="1">
      <alignment horizontal="center"/>
    </xf>
    <xf borderId="1" fillId="7" fontId="3" numFmtId="0" xfId="0" applyAlignment="1" applyBorder="1" applyFont="1">
      <alignment readingOrder="0"/>
    </xf>
    <xf borderId="0" fillId="0" fontId="12" numFmtId="0" xfId="0" applyFont="1"/>
    <xf borderId="0" fillId="0" fontId="13" numFmtId="0" xfId="0" applyFont="1"/>
    <xf borderId="0" fillId="0" fontId="5" numFmtId="0" xfId="0" applyFont="1"/>
    <xf borderId="0" fillId="0" fontId="6" numFmtId="1" xfId="0" applyFont="1" applyNumberFormat="1"/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nas.org/doi/10.1073/pnas.2121084119" TargetMode="External"/><Relationship Id="rId2" Type="http://schemas.openxmlformats.org/officeDocument/2006/relationships/hyperlink" Target="https://www.pnas.org/doi/10.1073/pnas.2121084119" TargetMode="External"/><Relationship Id="rId3" Type="http://schemas.openxmlformats.org/officeDocument/2006/relationships/hyperlink" Target="https://ntrs.nasa.gov/api/citations/20070014757/downloads/20070014757.pdf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16.0"/>
    <col customWidth="1" min="4" max="4" width="18.88"/>
    <col customWidth="1" min="5" max="5" width="32.0"/>
    <col customWidth="1" min="6" max="7" width="14.0"/>
    <col customWidth="1" min="8" max="8" width="34.0"/>
    <col customWidth="1" min="11" max="11" width="15.88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1" t="s">
        <v>3</v>
      </c>
      <c r="F1" s="3" t="s">
        <v>4</v>
      </c>
      <c r="G1" s="3" t="s">
        <v>5</v>
      </c>
      <c r="H1" s="1" t="s">
        <v>6</v>
      </c>
    </row>
    <row r="2" ht="15.75" customHeight="1">
      <c r="A2" s="4" t="s">
        <v>7</v>
      </c>
      <c r="B2" s="5">
        <f>F8*F10*F3</f>
        <v>128.898</v>
      </c>
      <c r="C2" s="5">
        <f>F8*F10*F4</f>
        <v>88.74</v>
      </c>
      <c r="D2" s="2"/>
      <c r="E2" s="6" t="s">
        <v>8</v>
      </c>
      <c r="F2" s="2"/>
      <c r="G2" s="2"/>
      <c r="H2" s="2"/>
      <c r="K2" s="7" t="s">
        <v>9</v>
      </c>
      <c r="L2" s="7" t="s">
        <v>10</v>
      </c>
    </row>
    <row r="3" ht="15.75" customHeight="1">
      <c r="A3" s="4" t="s">
        <v>11</v>
      </c>
      <c r="B3" s="5">
        <f>F22*F24*F3</f>
        <v>2.900205</v>
      </c>
      <c r="C3" s="5">
        <f>F22*F24*F4</f>
        <v>1.99665</v>
      </c>
      <c r="D3" s="2"/>
      <c r="E3" s="2" t="s">
        <v>12</v>
      </c>
      <c r="F3" s="8">
        <v>716.1</v>
      </c>
      <c r="G3" s="2" t="s">
        <v>13</v>
      </c>
      <c r="H3" s="9"/>
      <c r="I3" s="10" t="s">
        <v>14</v>
      </c>
      <c r="J3" s="11">
        <v>175.0</v>
      </c>
      <c r="K3" s="10" t="s">
        <v>15</v>
      </c>
      <c r="L3" s="12">
        <f t="shared" ref="L3:L4" si="1">J3*(3389/1000000)^2</f>
        <v>0.002009931175</v>
      </c>
    </row>
    <row r="4" ht="15.75" customHeight="1">
      <c r="A4" s="4" t="s">
        <v>16</v>
      </c>
      <c r="B4" s="5">
        <f>F22*F26*F3</f>
        <v>17.1864</v>
      </c>
      <c r="C4" s="5">
        <f>F22*F26*F4</f>
        <v>11.832</v>
      </c>
      <c r="D4" s="2"/>
      <c r="E4" s="2" t="s">
        <v>17</v>
      </c>
      <c r="F4" s="8">
        <v>493.0</v>
      </c>
      <c r="G4" s="2" t="s">
        <v>13</v>
      </c>
      <c r="H4" s="2"/>
      <c r="I4" s="10" t="s">
        <v>18</v>
      </c>
      <c r="J4" s="13">
        <f>0.43*F3</f>
        <v>307.923</v>
      </c>
      <c r="K4" s="10" t="s">
        <v>15</v>
      </c>
      <c r="L4" s="13">
        <f t="shared" si="1"/>
        <v>0.003536594498</v>
      </c>
    </row>
    <row r="5" ht="15.75" customHeight="1">
      <c r="A5" s="4" t="s">
        <v>19</v>
      </c>
      <c r="B5" s="5">
        <f>F13*F15*F3</f>
        <v>6122.655</v>
      </c>
      <c r="C5" s="5">
        <f>F13*F15*F4</f>
        <v>4215.15</v>
      </c>
      <c r="D5" s="2"/>
      <c r="E5" s="2" t="s">
        <v>20</v>
      </c>
      <c r="F5" s="14">
        <v>5.67E-8</v>
      </c>
      <c r="G5" s="2" t="s">
        <v>21</v>
      </c>
      <c r="H5" s="2"/>
    </row>
    <row r="6" ht="15.75" customHeight="1">
      <c r="A6" s="4" t="s">
        <v>22</v>
      </c>
      <c r="B6" s="5">
        <f>F35</f>
        <v>580</v>
      </c>
      <c r="C6" s="5">
        <f>F36</f>
        <v>250</v>
      </c>
      <c r="D6" s="2"/>
      <c r="E6" s="2"/>
      <c r="F6" s="15"/>
      <c r="G6" s="2"/>
      <c r="H6" s="2"/>
    </row>
    <row r="7" ht="15.75" customHeight="1">
      <c r="A7" s="2"/>
      <c r="B7" s="16"/>
      <c r="C7" s="16"/>
      <c r="D7" s="2"/>
      <c r="E7" s="17" t="s">
        <v>23</v>
      </c>
      <c r="F7" s="15"/>
      <c r="G7" s="2"/>
      <c r="H7" s="2"/>
    </row>
    <row r="8" ht="15.75" customHeight="1">
      <c r="A8" s="18" t="s">
        <v>24</v>
      </c>
      <c r="B8" s="19">
        <f t="shared" ref="B8:C8" si="2">SUM(B2:B6)</f>
        <v>6851.639605</v>
      </c>
      <c r="C8" s="19">
        <f t="shared" si="2"/>
        <v>4567.71865</v>
      </c>
      <c r="D8" s="2"/>
      <c r="E8" s="2" t="s">
        <v>25</v>
      </c>
      <c r="F8" s="20">
        <v>0.08</v>
      </c>
      <c r="G8" s="2"/>
      <c r="H8" s="21" t="s">
        <v>26</v>
      </c>
    </row>
    <row r="9" ht="15.75" customHeight="1">
      <c r="A9" s="2"/>
      <c r="B9" s="16"/>
      <c r="C9" s="16"/>
      <c r="D9" s="2"/>
      <c r="E9" s="2" t="s">
        <v>27</v>
      </c>
      <c r="F9" s="20">
        <v>0.81</v>
      </c>
      <c r="G9" s="2"/>
      <c r="H9" s="2"/>
    </row>
    <row r="10" ht="15.75" customHeight="1">
      <c r="A10" s="22" t="s">
        <v>28</v>
      </c>
      <c r="B10" s="23">
        <f>F9*F10*F41</f>
        <v>951.2758866</v>
      </c>
      <c r="C10" s="23">
        <f>F9*F10*F42</f>
        <v>712.7832829</v>
      </c>
      <c r="D10" s="2"/>
      <c r="E10" s="2" t="s">
        <v>29</v>
      </c>
      <c r="F10" s="24">
        <f>1.5^2</f>
        <v>2.25</v>
      </c>
      <c r="G10" s="2" t="s">
        <v>30</v>
      </c>
      <c r="H10" s="2"/>
    </row>
    <row r="11" ht="15.75" customHeight="1">
      <c r="A11" s="22" t="s">
        <v>31</v>
      </c>
      <c r="B11" s="23">
        <f>F14*F15*F41</f>
        <v>3966.91179</v>
      </c>
      <c r="C11" s="23">
        <f>F14*F15*F42</f>
        <v>2972.374733</v>
      </c>
      <c r="D11" s="2"/>
      <c r="E11" s="2"/>
      <c r="F11" s="15"/>
      <c r="G11" s="2"/>
      <c r="H11" s="2"/>
    </row>
    <row r="12" ht="15.75" customHeight="1">
      <c r="A12" s="22" t="s">
        <v>32</v>
      </c>
      <c r="B12" s="23">
        <f>F18*F19*F41</f>
        <v>755.5923036</v>
      </c>
      <c r="C12" s="23">
        <v>0.0</v>
      </c>
      <c r="D12" s="25" t="s">
        <v>33</v>
      </c>
      <c r="E12" s="6" t="s">
        <v>34</v>
      </c>
      <c r="F12" s="15"/>
      <c r="G12" s="2"/>
      <c r="H12" s="2"/>
    </row>
    <row r="13" ht="15.75" customHeight="1">
      <c r="A13" s="22" t="s">
        <v>35</v>
      </c>
      <c r="B13" s="23">
        <f>F23*F24*F41</f>
        <v>11.27438088</v>
      </c>
      <c r="C13" s="23">
        <f>F23*F24*F42</f>
        <v>8.447801872</v>
      </c>
      <c r="D13" s="2"/>
      <c r="E13" s="2" t="s">
        <v>36</v>
      </c>
      <c r="F13" s="26">
        <v>0.9</v>
      </c>
      <c r="G13" s="2"/>
      <c r="H13" s="2"/>
    </row>
    <row r="14" ht="15.75" customHeight="1">
      <c r="A14" s="22" t="s">
        <v>37</v>
      </c>
      <c r="B14" s="23">
        <f>F25*F26*F41</f>
        <v>62.63544932</v>
      </c>
      <c r="C14" s="23">
        <f>F25*F26*F42</f>
        <v>46.93223262</v>
      </c>
      <c r="D14" s="2"/>
      <c r="E14" s="2" t="s">
        <v>38</v>
      </c>
      <c r="F14" s="26">
        <v>0.8</v>
      </c>
      <c r="G14" s="2"/>
      <c r="H14" s="2"/>
    </row>
    <row r="15" ht="15.75" customHeight="1">
      <c r="A15" s="22" t="s">
        <v>39</v>
      </c>
      <c r="B15" s="23">
        <f>F29*F30*F41</f>
        <v>1103.949794</v>
      </c>
      <c r="C15" s="23">
        <f>F29*F30*F42</f>
        <v>827.1805999</v>
      </c>
      <c r="D15" s="2"/>
      <c r="E15" s="2" t="s">
        <v>40</v>
      </c>
      <c r="F15" s="24">
        <v>9.5</v>
      </c>
      <c r="G15" s="2" t="s">
        <v>30</v>
      </c>
      <c r="H15" s="2"/>
    </row>
    <row r="16" ht="15.75" customHeight="1">
      <c r="A16" s="22" t="s">
        <v>41</v>
      </c>
      <c r="B16" s="23">
        <f>F31*F32*F41</f>
        <v>0</v>
      </c>
      <c r="C16" s="23">
        <f>F31*F32*F42</f>
        <v>0</v>
      </c>
      <c r="D16" s="2"/>
      <c r="E16" s="2"/>
      <c r="F16" s="15"/>
      <c r="G16" s="2"/>
      <c r="H16" s="2"/>
    </row>
    <row r="17" ht="15.75" customHeight="1">
      <c r="A17" s="2"/>
      <c r="B17" s="16"/>
      <c r="C17" s="16"/>
      <c r="D17" s="2"/>
      <c r="E17" s="17" t="s">
        <v>42</v>
      </c>
      <c r="F17" s="15"/>
      <c r="G17" s="2"/>
      <c r="H17" s="2"/>
    </row>
    <row r="18" ht="15.75" customHeight="1">
      <c r="A18" s="18" t="s">
        <v>43</v>
      </c>
      <c r="B18" s="19">
        <f t="shared" ref="B18:C18" si="3">SUM(B10:B16)</f>
        <v>6851.639605</v>
      </c>
      <c r="C18" s="19">
        <f t="shared" si="3"/>
        <v>4567.71865</v>
      </c>
      <c r="D18" s="2"/>
      <c r="E18" s="2" t="s">
        <v>44</v>
      </c>
      <c r="F18" s="20">
        <v>0.94</v>
      </c>
      <c r="G18" s="2"/>
      <c r="H18" s="27"/>
    </row>
    <row r="19" ht="15.75" customHeight="1">
      <c r="A19" s="6" t="s">
        <v>45</v>
      </c>
      <c r="B19" s="28">
        <f t="shared" ref="B19:C19" si="4">B8-B18</f>
        <v>0</v>
      </c>
      <c r="C19" s="28">
        <f t="shared" si="4"/>
        <v>0</v>
      </c>
      <c r="D19" s="25" t="s">
        <v>46</v>
      </c>
      <c r="E19" s="2" t="s">
        <v>47</v>
      </c>
      <c r="F19" s="29">
        <f>2*1.4*0.55</f>
        <v>1.54</v>
      </c>
      <c r="G19" s="2" t="s">
        <v>30</v>
      </c>
      <c r="H19" s="9" t="s">
        <v>48</v>
      </c>
    </row>
    <row r="20" ht="15.75" customHeight="1">
      <c r="A20" s="2"/>
      <c r="B20" s="16"/>
      <c r="C20" s="16"/>
      <c r="D20" s="2"/>
      <c r="E20" s="2"/>
      <c r="F20" s="15"/>
      <c r="G20" s="2"/>
      <c r="H20" s="2"/>
    </row>
    <row r="21" ht="15.75" customHeight="1">
      <c r="A21" s="30" t="s">
        <v>49</v>
      </c>
      <c r="B21" s="31" t="s">
        <v>50</v>
      </c>
      <c r="C21" s="31" t="s">
        <v>51</v>
      </c>
      <c r="D21" s="2"/>
      <c r="E21" s="6" t="s">
        <v>52</v>
      </c>
      <c r="F21" s="15"/>
      <c r="G21" s="2"/>
      <c r="H21" s="9"/>
    </row>
    <row r="22" ht="15.75" customHeight="1">
      <c r="A22" s="32" t="s">
        <v>53</v>
      </c>
      <c r="B22" s="33">
        <f>F45</f>
        <v>309.7518958</v>
      </c>
      <c r="C22" s="33">
        <f>F46</f>
        <v>288.1885537</v>
      </c>
      <c r="D22" s="2"/>
      <c r="E22" s="2" t="s">
        <v>54</v>
      </c>
      <c r="F22" s="26">
        <v>0.15</v>
      </c>
      <c r="G22" s="2"/>
      <c r="H22" s="2"/>
    </row>
    <row r="23" ht="15.75" customHeight="1">
      <c r="A23" s="32" t="s">
        <v>55</v>
      </c>
      <c r="B23" s="33">
        <f>F47</f>
        <v>36.60189578</v>
      </c>
      <c r="C23" s="33">
        <f>F48</f>
        <v>15.03855366</v>
      </c>
      <c r="D23" s="2"/>
      <c r="E23" s="2" t="s">
        <v>56</v>
      </c>
      <c r="F23" s="26">
        <v>0.8</v>
      </c>
      <c r="G23" s="2"/>
      <c r="H23" s="2"/>
    </row>
    <row r="24" ht="15.75" customHeight="1">
      <c r="A24" s="32" t="s">
        <v>57</v>
      </c>
      <c r="B24" s="33">
        <f>F49</f>
        <v>3.398104225</v>
      </c>
      <c r="C24" s="34" t="s">
        <v>58</v>
      </c>
      <c r="D24" s="2"/>
      <c r="E24" s="2" t="s">
        <v>59</v>
      </c>
      <c r="F24" s="24">
        <f>0.15*0.18</f>
        <v>0.027</v>
      </c>
      <c r="G24" s="2" t="s">
        <v>30</v>
      </c>
      <c r="H24" s="2" t="s">
        <v>60</v>
      </c>
    </row>
    <row r="25" ht="15.75" customHeight="1">
      <c r="A25" s="32" t="s">
        <v>61</v>
      </c>
      <c r="B25" s="34" t="s">
        <v>58</v>
      </c>
      <c r="C25" s="33">
        <f>F50</f>
        <v>5.038553662</v>
      </c>
      <c r="D25" s="2"/>
      <c r="E25" s="2" t="s">
        <v>62</v>
      </c>
      <c r="F25" s="26">
        <v>0.75</v>
      </c>
      <c r="G25" s="2"/>
      <c r="H25" s="2"/>
    </row>
    <row r="26" ht="15.75" customHeight="1">
      <c r="A26" s="2"/>
      <c r="B26" s="2"/>
      <c r="C26" s="2"/>
      <c r="D26" s="2"/>
      <c r="E26" s="2" t="s">
        <v>63</v>
      </c>
      <c r="F26" s="24">
        <f>0.4^2</f>
        <v>0.16</v>
      </c>
      <c r="G26" s="2" t="s">
        <v>30</v>
      </c>
      <c r="H26" s="2" t="s">
        <v>64</v>
      </c>
    </row>
    <row r="27" ht="15.75" customHeight="1">
      <c r="A27" s="4" t="s">
        <v>65</v>
      </c>
      <c r="B27" s="22" t="s">
        <v>66</v>
      </c>
      <c r="C27" s="35" t="s">
        <v>67</v>
      </c>
      <c r="D27" s="2"/>
      <c r="E27" s="2"/>
      <c r="F27" s="15"/>
      <c r="G27" s="2"/>
      <c r="H27" s="2"/>
    </row>
    <row r="28" ht="15.75" customHeight="1">
      <c r="A28" s="2"/>
      <c r="B28" s="2"/>
      <c r="C28" s="2"/>
      <c r="D28" s="2"/>
      <c r="E28" s="6" t="s">
        <v>68</v>
      </c>
      <c r="F28" s="15"/>
      <c r="G28" s="2"/>
      <c r="H28" s="2"/>
    </row>
    <row r="29" ht="15.75" customHeight="1">
      <c r="A29" s="2"/>
      <c r="B29" s="2"/>
      <c r="C29" s="2"/>
      <c r="D29" s="2"/>
      <c r="E29" s="9" t="s">
        <v>69</v>
      </c>
      <c r="F29" s="20">
        <v>0.94</v>
      </c>
      <c r="G29" s="2"/>
      <c r="H29" s="2"/>
    </row>
    <row r="30" ht="15.75" customHeight="1">
      <c r="A30" s="9"/>
      <c r="B30" s="2"/>
      <c r="C30" s="2"/>
      <c r="D30" s="2"/>
      <c r="E30" s="2" t="s">
        <v>70</v>
      </c>
      <c r="F30" s="24">
        <f>1.5^2</f>
        <v>2.25</v>
      </c>
      <c r="G30" s="2" t="s">
        <v>30</v>
      </c>
      <c r="H30" s="2"/>
    </row>
    <row r="31" ht="15.75" customHeight="1">
      <c r="F31" s="26"/>
      <c r="H31" s="36"/>
    </row>
    <row r="32" ht="15.75" customHeight="1">
      <c r="F32" s="24"/>
      <c r="H32" s="36"/>
    </row>
    <row r="33" ht="12.75" customHeight="1">
      <c r="F33" s="37"/>
      <c r="H33" s="36"/>
    </row>
    <row r="34" ht="15.75" customHeight="1">
      <c r="E34" s="6" t="s">
        <v>71</v>
      </c>
      <c r="F34" s="37"/>
      <c r="H34" s="36"/>
    </row>
    <row r="35" ht="15.75" customHeight="1">
      <c r="E35" s="38" t="s">
        <v>72</v>
      </c>
      <c r="F35" s="39">
        <v>580.0</v>
      </c>
      <c r="G35" s="38" t="s">
        <v>73</v>
      </c>
      <c r="H35" s="40"/>
    </row>
    <row r="36" ht="15.75" customHeight="1">
      <c r="E36" s="38" t="s">
        <v>74</v>
      </c>
      <c r="F36" s="39">
        <v>250.0</v>
      </c>
      <c r="G36" s="38" t="s">
        <v>73</v>
      </c>
      <c r="H36" s="36"/>
    </row>
    <row r="37" ht="12.75" customHeight="1">
      <c r="F37" s="37"/>
      <c r="H37" s="36"/>
    </row>
    <row r="38" ht="15.75" customHeight="1">
      <c r="E38" s="6" t="s">
        <v>75</v>
      </c>
      <c r="F38" s="37"/>
      <c r="H38" s="36"/>
    </row>
    <row r="39" ht="15.75" customHeight="1">
      <c r="E39" s="38" t="s">
        <v>76</v>
      </c>
      <c r="F39" s="24">
        <f>F9*F10+F14*F15+F18*F19+F23*F24+F25*F26+F29*F30+F31*F32</f>
        <v>13.1267</v>
      </c>
      <c r="G39" s="38" t="s">
        <v>30</v>
      </c>
      <c r="H39" s="36"/>
    </row>
    <row r="40" ht="15.75" customHeight="1">
      <c r="E40" s="38" t="s">
        <v>77</v>
      </c>
      <c r="F40" s="24">
        <f>F39-F18*F19</f>
        <v>11.6791</v>
      </c>
      <c r="G40" s="38" t="s">
        <v>30</v>
      </c>
      <c r="H40" s="36"/>
    </row>
    <row r="41" ht="15.75" customHeight="1">
      <c r="E41" s="38" t="s">
        <v>78</v>
      </c>
      <c r="F41" s="26">
        <f>B8/F39</f>
        <v>521.9620777</v>
      </c>
      <c r="G41" s="38" t="s">
        <v>13</v>
      </c>
      <c r="H41" s="36" t="s">
        <v>79</v>
      </c>
    </row>
    <row r="42" ht="15.75" customHeight="1">
      <c r="E42" s="38" t="s">
        <v>80</v>
      </c>
      <c r="F42" s="26">
        <f>C8/F40</f>
        <v>391.1019385</v>
      </c>
      <c r="G42" s="38" t="s">
        <v>13</v>
      </c>
      <c r="H42" s="36" t="s">
        <v>81</v>
      </c>
    </row>
    <row r="43" ht="12.75" customHeight="1">
      <c r="F43" s="37"/>
    </row>
    <row r="44" ht="15.75" customHeight="1">
      <c r="E44" s="6" t="s">
        <v>82</v>
      </c>
      <c r="F44" s="37"/>
    </row>
    <row r="45" ht="15.75" customHeight="1">
      <c r="E45" s="38" t="s">
        <v>83</v>
      </c>
      <c r="F45" s="26">
        <f>(F41/F5)^0.25</f>
        <v>309.7518958</v>
      </c>
      <c r="G45" s="38" t="s">
        <v>84</v>
      </c>
    </row>
    <row r="46" ht="15.75" customHeight="1">
      <c r="E46" s="38" t="s">
        <v>85</v>
      </c>
      <c r="F46" s="26">
        <f>(F42/F5)^0.25</f>
        <v>288.1885537</v>
      </c>
      <c r="G46" s="38" t="s">
        <v>84</v>
      </c>
    </row>
    <row r="47" ht="15.75" customHeight="1">
      <c r="E47" s="38" t="s">
        <v>86</v>
      </c>
      <c r="F47" s="26">
        <f t="shared" ref="F47:F48" si="5">F45-273.15</f>
        <v>36.60189578</v>
      </c>
      <c r="G47" s="38" t="s">
        <v>87</v>
      </c>
    </row>
    <row r="48" ht="15.75" customHeight="1">
      <c r="E48" s="38" t="s">
        <v>88</v>
      </c>
      <c r="F48" s="26">
        <f t="shared" si="5"/>
        <v>15.03855366</v>
      </c>
      <c r="G48" s="38" t="s">
        <v>87</v>
      </c>
    </row>
    <row r="49" ht="15.75" customHeight="1">
      <c r="E49" s="38" t="s">
        <v>89</v>
      </c>
      <c r="F49" s="26">
        <f>40-F47</f>
        <v>3.398104225</v>
      </c>
      <c r="G49" s="38" t="s">
        <v>87</v>
      </c>
    </row>
    <row r="50" ht="15.75" customHeight="1">
      <c r="E50" s="38" t="s">
        <v>90</v>
      </c>
      <c r="F50" s="26">
        <f>F48-10</f>
        <v>5.038553662</v>
      </c>
      <c r="G50" s="38" t="s">
        <v>87</v>
      </c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location=":~:text=The%20annual%2Dmean%20global%2Daverage,albedo%20%E2%88%BC0.241%20%C2%B1%200.016." ref="J3"/>
    <hyperlink r:id="rId2" location=":~:text=The%20annual%2Dmean%20global%2Daverage,albedo%20∼0.241%20±%200.016." ref="F5"/>
    <hyperlink r:id="rId3" ref="H8"/>
  </hyperlinks>
  <printOptions/>
  <pageMargins bottom="1.0" footer="0.0" header="0.0" left="0.75" right="0.75" top="1.0"/>
  <pageSetup paperSize="9" orientation="portrait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2026-04-26T08:14:33Z</dcterms:created>
  <dc:creator>openpyxl</dc:creator>
</cp:coreProperties>
</file>